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Data" sheetId="2" state="visible" r:id="rId4"/>
    <sheet name="Bug_Report" sheetId="3" state="visible" r:id="rId5"/>
    <sheet name="Summary" sheetId="4" state="visible" r:id="rId6"/>
  </sheets>
  <definedNames>
    <definedName function="false" hidden="true" localSheetId="2" name="_xlnm._FilterDatabase" vbProcedure="false">Bug_Report!$A$1:$L$10</definedName>
    <definedName function="false" hidden="true" localSheetId="0" name="_xlnm._FilterDatabase" vbProcedure="false">'Test Cases'!$A$1:$J$28</definedName>
    <definedName function="false" hidden="true" localSheetId="1" name="_xlnm._FilterDatabase" vbProcedure="false">'Test Data'!$A$1:$D$16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<sst xmlns="http://schemas.openxmlformats.org/spreadsheetml/2006/main" count="510" uniqueCount="273">
  <si>
    <t xml:space="preserve">Test ID</t>
  </si>
  <si>
    <t xml:space="preserve">Module / Endpoint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</si>
  <si>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</si>
  <si>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</si>
  <si>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</si>
  <si>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</si>
  <si>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</si>
  <si>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</si>
  <si>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</si>
  <si>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</si>
  <si>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Evidence</t>
  </si>
  <si>
    <t xml:space="preserve">BUG</t>
  </si>
  <si>
    <t xml:space="preserve">TC_001</t>
  </si>
  <si>
    <t xml:space="preserve">Auth - POST /auth</t>
  </si>
  <si>
    <t xml:space="preserve">Generate auth token with valid credentials</t>
  </si>
  <si>
    <t xml:space="preserve">API base URL reachable</t>
  </si>
  <si>
    <t xml:space="preserve">1. Send POST /auth with valid username &amp; password
2. Capture response</t>
  </si>
  <si>
    <t xml:space="preserve">username: admin, password: password123</t>
  </si>
  <si>
    <t xml:space="preserve">200 OK; response body contains a non-empty 'token' field</t>
  </si>
  <si>
    <t xml:space="preserve">PASS</t>
  </si>
  <si>
    <t xml:space="preserve">High</t>
  </si>
  <si>
    <t xml:space="preserve">SS_001</t>
  </si>
  <si>
    <t xml:space="preserve">TC_002</t>
  </si>
  <si>
    <t xml:space="preserve">Attempt auth with invalid password</t>
  </si>
  <si>
    <t xml:space="preserve">1. Send POST /auth with valid username, wrong password</t>
  </si>
  <si>
    <t xml:space="preserve">username: messi, password: messi123</t>
  </si>
  <si>
    <t xml:space="preserve">200 OK; response body contains 'reason: Bad credentials' (no token)</t>
  </si>
  <si>
    <t xml:space="preserve">SS_002</t>
  </si>
  <si>
    <t xml:space="preserve">TC_003</t>
  </si>
  <si>
    <t xml:space="preserve">Attempt auth with missing password field</t>
  </si>
  <si>
    <t xml:space="preserve">1. Send POST /auth with only username, no password field</t>
  </si>
  <si>
    <t xml:space="preserve">username: admin</t>
  </si>
  <si>
    <t xml:space="preserve">Should return 400 Bad Request or a clear validation error</t>
  </si>
  <si>
    <t xml:space="preserve">Return 404 “Not Found” error</t>
  </si>
  <si>
    <t xml:space="preserve">Medium</t>
  </si>
  <si>
    <t xml:space="preserve">SS_003</t>
  </si>
  <si>
    <t xml:space="preserve">TC_004</t>
  </si>
  <si>
    <t xml:space="preserve">Attempt auth with empty request body</t>
  </si>
  <si>
    <t xml:space="preserve">1. Send POST /auth with empty JSON body {}</t>
  </si>
  <si>
    <t xml:space="preserve">{}</t>
  </si>
  <si>
    <t xml:space="preserve">Should return 400 Bad Request or reason: Bad credentials</t>
  </si>
  <si>
    <t xml:space="preserve">FAIL</t>
  </si>
  <si>
    <t xml:space="preserve">SS_004</t>
  </si>
  <si>
    <t xml:space="preserve">BUG_001</t>
  </si>
  <si>
    <t xml:space="preserve">TC_005</t>
  </si>
  <si>
    <t xml:space="preserve">Booking - POST /booking</t>
  </si>
  <si>
    <t xml:space="preserve">Create a new booking with valid data</t>
  </si>
  <si>
    <t xml:space="preserve">1. Send POST /booking with complete valid payload
2. Capture bookingid</t>
  </si>
  <si>
    <t xml:space="preserve">See test data sheet.</t>
  </si>
  <si>
    <t xml:space="preserve">200 OK; response returns bookingid and matching booking object</t>
  </si>
  <si>
    <t xml:space="preserve">SS_005</t>
  </si>
  <si>
    <t xml:space="preserve">TC_006</t>
  </si>
  <si>
    <t xml:space="preserve">Create booking with missing firstname</t>
  </si>
  <si>
    <t xml:space="preserve">1. Send POST /booking without 'firstname' field</t>
  </si>
  <si>
    <t xml:space="preserve">Valid payload without firstname</t>
  </si>
  <si>
    <t xml:space="preserve">Should return 400 Bad Request</t>
  </si>
  <si>
    <t xml:space="preserve">Returns 500 internal server error</t>
  </si>
  <si>
    <t xml:space="preserve">SS_006</t>
  </si>
  <si>
    <t xml:space="preserve">BUG_002</t>
  </si>
  <si>
    <t xml:space="preserve">TC_007</t>
  </si>
  <si>
    <t xml:space="preserve">Create booking with negative totalprice</t>
  </si>
  <si>
    <t xml:space="preserve">1. Send POST /booking with totalprice: -120</t>
  </si>
  <si>
    <t xml:space="preserve">Totalprice: -120, other fields valid</t>
  </si>
  <si>
    <t xml:space="preserve">Should reject negative price with 400 </t>
  </si>
  <si>
    <t xml:space="preserve">SS_007</t>
  </si>
  <si>
    <t xml:space="preserve">BUG_003</t>
  </si>
  <si>
    <t xml:space="preserve">TC_008</t>
  </si>
  <si>
    <t xml:space="preserve">Create booking with checkout date before checkin date</t>
  </si>
  <si>
    <t xml:space="preserve">1. Send POST /booking with checkin: 2026-06-07, checkout: 2022-07-06</t>
  </si>
  <si>
    <t xml:space="preserve">checkin: 2026-06-07, checkout: 2022-07-06</t>
  </si>
  <si>
    <t xml:space="preserve">Should reject illogical date range with 400 (verify actual behavior)</t>
  </si>
  <si>
    <t xml:space="preserve">SS_008</t>
  </si>
  <si>
    <t xml:space="preserve">BUG_004</t>
  </si>
  <si>
    <t xml:space="preserve">TC_009</t>
  </si>
  <si>
    <t xml:space="preserve">Create booking with wrong data type for totalprice</t>
  </si>
  <si>
    <t xml:space="preserve">1. Send POST /booking with totalprice as a string 'abc'</t>
  </si>
  <si>
    <t xml:space="preserve">totalprice: "abc"</t>
  </si>
  <si>
    <t xml:space="preserve">Should return 400 Bad Request for invalid data type</t>
  </si>
  <si>
    <t xml:space="preserve">200 OK; response returns bookingid and matching booking object with the total price as “null”</t>
  </si>
  <si>
    <t xml:space="preserve">SS_009</t>
  </si>
  <si>
    <t xml:space="preserve">BUG_005</t>
  </si>
  <si>
    <t xml:space="preserve">TC_010</t>
  </si>
  <si>
    <t xml:space="preserve">Create booking with extra/unexpected field</t>
  </si>
  <si>
    <t xml:space="preserve">1. Send POST /booking with valid payload plus an extra field 'foo: bar'</t>
  </si>
  <si>
    <t xml:space="preserve">Valid payload + foo: bar</t>
  </si>
  <si>
    <t xml:space="preserve">200 OK; extra field should be ignored, not stored or should return error</t>
  </si>
  <si>
    <t xml:space="preserve">200 OK; extra field is ignored,</t>
  </si>
  <si>
    <t xml:space="preserve">Low</t>
  </si>
  <si>
    <t xml:space="preserve">SS_010</t>
  </si>
  <si>
    <t xml:space="preserve">TC_011</t>
  </si>
  <si>
    <t xml:space="preserve">Booking - GET /booking/{id}</t>
  </si>
  <si>
    <t xml:space="preserve">Get booking by valid ID</t>
  </si>
  <si>
    <t xml:space="preserve">At least one booking exists</t>
  </si>
  <si>
    <t xml:space="preserve">1. Send GET /booking/{valid id}</t>
  </si>
  <si>
    <t xml:space="preserve">bookingid: (from TC_005)</t>
  </si>
  <si>
    <t xml:space="preserve">200 OK; response body matches created booking details</t>
  </si>
  <si>
    <t xml:space="preserve">SS_011</t>
  </si>
  <si>
    <t xml:space="preserve">TC_012</t>
  </si>
  <si>
    <t xml:space="preserve">Get booking by non-existent ID</t>
  </si>
  <si>
    <t xml:space="preserve">N/A</t>
  </si>
  <si>
    <t xml:space="preserve">1. Send GET /booking/999999 (assume not existing)</t>
  </si>
  <si>
    <t xml:space="preserve">bookingid: 999999</t>
  </si>
  <si>
    <t xml:space="preserve">404 Not Found</t>
  </si>
  <si>
    <t xml:space="preserve">404  Not Found</t>
  </si>
  <si>
    <t xml:space="preserve">SS_012</t>
  </si>
  <si>
    <t xml:space="preserve">TC_013</t>
  </si>
  <si>
    <t xml:space="preserve">Get booking with invalid ID format</t>
  </si>
  <si>
    <t xml:space="preserve">1. Send GET /booking/abc (non-numeric id)</t>
  </si>
  <si>
    <t xml:space="preserve">bookingid: abc</t>
  </si>
  <si>
    <t xml:space="preserve">404 Not Found </t>
  </si>
  <si>
    <t xml:space="preserve">SS_013</t>
  </si>
  <si>
    <t xml:space="preserve">TC_014</t>
  </si>
  <si>
    <t xml:space="preserve">Booking - GET /booking</t>
  </si>
  <si>
    <t xml:space="preserve">Get all booking IDs (no filter)</t>
  </si>
  <si>
    <t xml:space="preserve">1. Send GET /booking with no query params</t>
  </si>
  <si>
    <t xml:space="preserve">None</t>
  </si>
  <si>
    <t xml:space="preserve">200 OK; response returns array of bookingid objects</t>
  </si>
  <si>
    <t xml:space="preserve">SS_014</t>
  </si>
  <si>
    <t xml:space="preserve">TC_015</t>
  </si>
  <si>
    <t xml:space="preserve">Filter bookings by firstname and lastname</t>
  </si>
  <si>
    <t xml:space="preserve">At least one known booking exists</t>
  </si>
  <si>
    <t xml:space="preserve">1. Send GET /booking?firstname=X&amp;lastname=Y</t>
  </si>
  <si>
    <t xml:space="preserve">firstname/lastname of an existing booking</t>
  </si>
  <si>
    <t xml:space="preserve">200 OK; returns only bookings matching the filter</t>
  </si>
  <si>
    <t xml:space="preserve">SS_015</t>
  </si>
  <si>
    <t xml:space="preserve">TC_016</t>
  </si>
  <si>
    <t xml:space="preserve">Filter bookings by checkin/checkout date range</t>
  </si>
  <si>
    <t xml:space="preserve">1. Send GET /booking?checkin=...&amp;checkout=...</t>
  </si>
  <si>
    <t xml:space="preserve">Valid date range covering a known booking</t>
  </si>
  <si>
    <t xml:space="preserve">200 OK; returns bookings within/overlapping the given date range</t>
  </si>
  <si>
    <t xml:space="preserve">200 OK; Returns empty string</t>
  </si>
  <si>
    <t xml:space="preserve">SS_016</t>
  </si>
  <si>
    <t xml:space="preserve">BUG_006</t>
  </si>
  <si>
    <t xml:space="preserve">TC_017</t>
  </si>
  <si>
    <t xml:space="preserve">Booking - PUT /booking/{id}</t>
  </si>
  <si>
    <t xml:space="preserve">Update booking with valid data and valid token</t>
  </si>
  <si>
    <t xml:space="preserve">Valid token; booking exists</t>
  </si>
  <si>
    <t xml:space="preserve">1. Send PUT /booking/{id} with full valid payload and Cookie/Authorization token</t>
  </si>
  <si>
    <t xml:space="preserve">Updated booking payload + token</t>
  </si>
  <si>
    <t xml:space="preserve">200 OK; response returns fully updated booking object</t>
  </si>
  <si>
    <t xml:space="preserve">SS_017</t>
  </si>
  <si>
    <t xml:space="preserve">TC_018</t>
  </si>
  <si>
    <t xml:space="preserve">Update booking without auth token</t>
  </si>
  <si>
    <t xml:space="preserve">Booking exists</t>
  </si>
  <si>
    <t xml:space="preserve">1. Send PUT /booking/{id} with valid payload but no token/cookie</t>
  </si>
  <si>
    <t xml:space="preserve">Valid payload, no token</t>
  </si>
  <si>
    <t xml:space="preserve">403 Forbidden</t>
  </si>
  <si>
    <t xml:space="preserve">SS_018</t>
  </si>
  <si>
    <t xml:space="preserve">TC_019</t>
  </si>
  <si>
    <t xml:space="preserve">Update booking with invalid/expired token</t>
  </si>
  <si>
    <t xml:space="preserve">1. Send PUT /booking/{id} with malformed token value</t>
  </si>
  <si>
    <t xml:space="preserve">token: invalid_token_123</t>
  </si>
  <si>
    <t xml:space="preserve">SS_019</t>
  </si>
  <si>
    <t xml:space="preserve">BUG_007</t>
  </si>
  <si>
    <t xml:space="preserve">TC_020</t>
  </si>
  <si>
    <t xml:space="preserve">Update non-existent booking with valid token</t>
  </si>
  <si>
    <t xml:space="preserve">Valid token</t>
  </si>
  <si>
    <t xml:space="preserve">1. Send PUT /booking/999999 with valid payload and valid token</t>
  </si>
  <si>
    <t xml:space="preserve">405 Method not allowed</t>
  </si>
  <si>
    <t xml:space="preserve">SS_020</t>
  </si>
  <si>
    <t xml:space="preserve">BUG_008</t>
  </si>
  <si>
    <t xml:space="preserve">TC_021</t>
  </si>
  <si>
    <t xml:space="preserve">Booking - DELETE /booking/{id}</t>
  </si>
  <si>
    <t xml:space="preserve">Delete booking with valid token</t>
  </si>
  <si>
    <t xml:space="preserve">1. Send DELETE /booking/{id} with valid token
2. Verify with GET that it no longer exists</t>
  </si>
  <si>
    <t xml:space="preserve">bookingid + valid token</t>
  </si>
  <si>
    <t xml:space="preserve">201 Created (per docs);  
GET returns 404</t>
  </si>
  <si>
    <t xml:space="preserve">202 Created (per docs);  
GET returns 404</t>
  </si>
  <si>
    <t xml:space="preserve">SS_021</t>
  </si>
  <si>
    <t xml:space="preserve">TC_022</t>
  </si>
  <si>
    <t xml:space="preserve">Delete booking without auth token</t>
  </si>
  <si>
    <t xml:space="preserve">1. Send DELETE /booking/{id} with no token</t>
  </si>
  <si>
    <t xml:space="preserve">No token</t>
  </si>
  <si>
    <t xml:space="preserve">SS_022</t>
  </si>
  <si>
    <t xml:space="preserve">TC_023</t>
  </si>
  <si>
    <t xml:space="preserve">Delete already-deleted / non-existent booking</t>
  </si>
  <si>
    <t xml:space="preserve">Booking previously deleted</t>
  </si>
  <si>
    <t xml:space="preserve">1. Send DELETE /booking/{id} for an ID already deleted</t>
  </si>
  <si>
    <t xml:space="preserve">Previously deleted bookingid</t>
  </si>
  <si>
    <t xml:space="preserve">405 Method Not Allowed </t>
  </si>
  <si>
    <t xml:space="preserve">SS_023</t>
  </si>
  <si>
    <t xml:space="preserve">TC_024</t>
  </si>
  <si>
    <t xml:space="preserve">Health - GET /ping</t>
  </si>
  <si>
    <t xml:space="preserve">Verify API health check endpoint</t>
  </si>
  <si>
    <t xml:space="preserve">1. Send GET /ping</t>
  </si>
  <si>
    <t xml:space="preserve">201 Created</t>
  </si>
  <si>
    <t xml:space="preserve">SS_024</t>
  </si>
  <si>
    <t xml:space="preserve">TC_025</t>
  </si>
  <si>
    <t xml:space="preserve">Create booking wiith depositpaid as boolean variants</t>
  </si>
  <si>
    <t xml:space="preserve">1. Send POST /booking with depositpaid: "true" (string instead of boolean)</t>
  </si>
  <si>
    <t xml:space="preserve">depositpaid: "true" (string)</t>
  </si>
  <si>
    <t xml:space="preserve">Should validate data type  </t>
  </si>
  <si>
    <t xml:space="preserve">validates data type </t>
  </si>
  <si>
    <t xml:space="preserve">SS_025</t>
  </si>
  <si>
    <t xml:space="preserve">TC_026</t>
  </si>
  <si>
    <t xml:space="preserve">Security - General</t>
  </si>
  <si>
    <t xml:space="preserve">Verify SQL injection attempt in query params is handled safely</t>
  </si>
  <si>
    <t xml:space="preserve">1. Send GET /booking?firstname=' OR '1'='1</t>
  </si>
  <si>
    <t xml:space="preserve">firstname: ' OR '1'='1</t>
  </si>
  <si>
    <t xml:space="preserve">No SQL error leaked;  normal 200 response</t>
  </si>
  <si>
    <t xml:space="preserve">200 OK</t>
  </si>
  <si>
    <t xml:space="preserve">SS_026</t>
  </si>
  <si>
    <t xml:space="preserve">TC_027</t>
  </si>
  <si>
    <t xml:space="preserve">Create booking with very long string in firstname (boundary test)</t>
  </si>
  <si>
    <t xml:space="preserve">1. Send POST /booking with firstname of 200+ characters</t>
  </si>
  <si>
    <t xml:space="preserve">firstname: “AAAAA….”</t>
  </si>
  <si>
    <t xml:space="preserve">Should reject or truncate gracefully; verify actual behavior (no server error)</t>
  </si>
  <si>
    <t xml:space="preserve">SS_028</t>
  </si>
  <si>
    <t xml:space="preserve">BUG-008</t>
  </si>
  <si>
    <t xml:space="preserve">Data Set</t>
  </si>
  <si>
    <t xml:space="preserve">Field</t>
  </si>
  <si>
    <t xml:space="preserve">Value</t>
  </si>
  <si>
    <t xml:space="preserve">Purpose</t>
  </si>
  <si>
    <t xml:space="preserve">Valid Booking Payload</t>
  </si>
  <si>
    <t xml:space="preserve">firstname</t>
  </si>
  <si>
    <t xml:space="preserve">Leo</t>
  </si>
  <si>
    <t xml:space="preserve">Standard valid input</t>
  </si>
  <si>
    <t xml:space="preserve">lastname</t>
  </si>
  <si>
    <t xml:space="preserve">Messi</t>
  </si>
  <si>
    <t xml:space="preserve">totalprice</t>
  </si>
  <si>
    <t xml:space="preserve">120</t>
  </si>
  <si>
    <t xml:space="preserve">depositpaid</t>
  </si>
  <si>
    <t xml:space="preserve">true</t>
  </si>
  <si>
    <t xml:space="preserve">Standard valid input (boolean)</t>
  </si>
  <si>
    <t xml:space="preserve">checkin</t>
  </si>
  <si>
    <t xml:space="preserve">2026-06-07</t>
  </si>
  <si>
    <t xml:space="preserve">checkout</t>
  </si>
  <si>
    <t xml:space="preserve">2026-07-06</t>
  </si>
  <si>
    <t xml:space="preserve">additionalneeds</t>
  </si>
  <si>
    <t xml:space="preserve">Coffee</t>
  </si>
  <si>
    <t xml:space="preserve">Valid Auth Credentials</t>
  </si>
  <si>
    <t xml:space="preserve">username</t>
  </si>
  <si>
    <t xml:space="preserve">admin</t>
  </si>
  <si>
    <t xml:space="preserve">Default demo credential per docs</t>
  </si>
  <si>
    <t xml:space="preserve">password</t>
  </si>
  <si>
    <t xml:space="preserve">password123</t>
  </si>
  <si>
    <t xml:space="preserve">Boundary - Long String</t>
  </si>
  <si>
    <t xml:space="preserve">'A' repeated 200 times</t>
  </si>
  <si>
    <t xml:space="preserve">Test max length handling</t>
  </si>
  <si>
    <t xml:space="preserve">Boundary - Negative Number</t>
  </si>
  <si>
    <t xml:space="preserve">Test negative value handling</t>
  </si>
  <si>
    <t xml:space="preserve">Invalid Type</t>
  </si>
  <si>
    <t xml:space="preserve">"abc" (string)</t>
  </si>
  <si>
    <t xml:space="preserve">Test type validation</t>
  </si>
  <si>
    <t xml:space="preserve">Invalid Date Range</t>
  </si>
  <si>
    <t xml:space="preserve">checkin / checkout</t>
  </si>
  <si>
    <t xml:space="preserve">2026-06-07 / 2022-07-06</t>
  </si>
  <si>
    <t xml:space="preserve">Test illogical date order</t>
  </si>
  <si>
    <t xml:space="preserve">SQL Injection Attempt</t>
  </si>
  <si>
    <t xml:space="preserve">' OR '1'='1</t>
  </si>
  <si>
    <t xml:space="preserve">Security negative test</t>
  </si>
  <si>
    <t xml:space="preserve">Empty Payload</t>
  </si>
  <si>
    <t xml:space="preserve">(all fields)</t>
  </si>
  <si>
    <t xml:space="preserve">Test required-field validation</t>
  </si>
  <si>
    <t xml:space="preserve">Bug ID</t>
  </si>
  <si>
    <t xml:space="preserve">Related Test ID</t>
  </si>
  <si>
    <t xml:space="preserve">Bug Title</t>
  </si>
  <si>
    <t xml:space="preserve">Steps to Reproduce</t>
  </si>
  <si>
    <t xml:space="preserve">Severity</t>
  </si>
  <si>
    <t xml:space="preserve">Major</t>
  </si>
  <si>
    <t xml:space="preserve">Open</t>
  </si>
  <si>
    <t xml:space="preserve">Critical</t>
  </si>
  <si>
    <t xml:space="preserve">Minor</t>
  </si>
  <si>
    <t xml:space="preserve">BUG_009</t>
  </si>
  <si>
    <t xml:space="preserve">Restful Booker API - Test Execution Summary</t>
  </si>
  <si>
    <t xml:space="preserve">Metric</t>
  </si>
  <si>
    <t xml:space="preserve">Count</t>
  </si>
  <si>
    <t xml:space="preserve">Total Test Cases</t>
  </si>
  <si>
    <t xml:space="preserve">Passed</t>
  </si>
  <si>
    <t xml:space="preserve">Failed</t>
  </si>
  <si>
    <t xml:space="preserve">Not Run</t>
  </si>
  <si>
    <t xml:space="preserve">Pass Rate</t>
  </si>
  <si>
    <t xml:space="preserve">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</si>
</sst>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81D41A"/>
        <bgColor rgb="FFB7B7B7"/>
      </patternFill>
    </fill>
    <fill>
      <patternFill patternType="solid">
        <fgColor rgb="FFF8CBAD"/>
        <bgColor rgb="FFF4CCCC"/>
      </patternFill>
    </fill>
    <fill>
      <patternFill patternType="solid">
        <fgColor rgb="FFFFE699"/>
        <bgColor rgb="FFFCE5CD"/>
      </patternFill>
    </fill>
    <fill>
      <patternFill patternType="solid">
        <fgColor rgb="FFF10D0C"/>
        <bgColor rgb="FFFF0000"/>
      </patternFill>
    </fill>
    <fill>
      <patternFill patternType="solid">
        <fgColor rgb="FFFF0000"/>
        <bgColor rgb="FFF10D0C"/>
      </patternFill>
    </fill>
    <fill>
      <patternFill patternType="solid">
        <fgColor rgb="FFD9E1F2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F8CBAD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10D0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77777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5CD"/>
      <rgbColor rgb="FFFFE699"/>
      <rgbColor rgb="FF99CCFF"/>
      <rgbColor rgb="FFF4CCCC"/>
      <rgbColor rgb="FFCC99FF"/>
      <rgbColor rgb="FFF8CBAD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F10D0C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" activeCellId="0" sqref="L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32"/>
    <col collapsed="false" customWidth="true" hidden="false" outlineLevel="0" max="6" min="6" style="1" width="26"/>
    <col collapsed="false" customWidth="true" hidden="false" outlineLevel="0" max="7" min="7" style="1" width="34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3.91"/>
    <col collapsed="false" customWidth="false" hidden="false" outlineLevel="0" max="12" min="12" style="2" width="8.68"/>
    <col collapsed="false" customWidth="true" hidden="false" outlineLevel="0" max="16384" min="16384" style="1" width="11.53"/>
  </cols>
  <sheetData>
    <row r="1" customFormat="false" ht="26.8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60" hidden="false" customHeight="tru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18</v>
      </c>
      <c r="I2" s="5" t="s">
        <v>19</v>
      </c>
      <c r="J2" s="6" t="s">
        <v>20</v>
      </c>
      <c r="K2" s="1" t="s">
        <v>21</v>
      </c>
    </row>
    <row r="3" customFormat="false" ht="60" hidden="false" customHeight="true" outlineLevel="0" collapsed="false">
      <c r="A3" s="4" t="s">
        <v>22</v>
      </c>
      <c r="B3" s="4" t="s">
        <v>13</v>
      </c>
      <c r="C3" s="4" t="s">
        <v>23</v>
      </c>
      <c r="D3" s="4" t="s">
        <v>15</v>
      </c>
      <c r="E3" s="4" t="s">
        <v>24</v>
      </c>
      <c r="F3" s="4" t="s">
        <v>25</v>
      </c>
      <c r="G3" s="4" t="s">
        <v>26</v>
      </c>
      <c r="H3" s="4" t="s">
        <v>26</v>
      </c>
      <c r="I3" s="5" t="s">
        <v>19</v>
      </c>
      <c r="J3" s="6" t="s">
        <v>20</v>
      </c>
      <c r="K3" s="1" t="s">
        <v>27</v>
      </c>
    </row>
    <row r="4" customFormat="false" ht="60" hidden="false" customHeight="true" outlineLevel="0" collapsed="false">
      <c r="A4" s="4" t="s">
        <v>28</v>
      </c>
      <c r="B4" s="4" t="s">
        <v>13</v>
      </c>
      <c r="C4" s="4" t="s">
        <v>29</v>
      </c>
      <c r="D4" s="4" t="s">
        <v>15</v>
      </c>
      <c r="E4" s="4" t="s">
        <v>30</v>
      </c>
      <c r="F4" s="4" t="s">
        <v>31</v>
      </c>
      <c r="G4" s="4" t="s">
        <v>32</v>
      </c>
      <c r="H4" s="4" t="s">
        <v>33</v>
      </c>
      <c r="I4" s="5" t="s">
        <v>19</v>
      </c>
      <c r="J4" s="7" t="s">
        <v>34</v>
      </c>
      <c r="K4" s="1" t="s">
        <v>35</v>
      </c>
    </row>
    <row r="5" customFormat="false" ht="60" hidden="false" customHeight="true" outlineLevel="0" collapsed="false">
      <c r="A5" s="4" t="s">
        <v>36</v>
      </c>
      <c r="B5" s="4" t="s">
        <v>13</v>
      </c>
      <c r="C5" s="4" t="s">
        <v>37</v>
      </c>
      <c r="D5" s="4" t="s">
        <v>15</v>
      </c>
      <c r="E5" s="4" t="s">
        <v>38</v>
      </c>
      <c r="F5" s="4" t="s">
        <v>39</v>
      </c>
      <c r="G5" s="4" t="s">
        <v>40</v>
      </c>
      <c r="H5" s="4" t="s">
        <v>26</v>
      </c>
      <c r="I5" s="8" t="s">
        <v>41</v>
      </c>
      <c r="J5" s="7" t="s">
        <v>34</v>
      </c>
      <c r="K5" s="1" t="s">
        <v>42</v>
      </c>
      <c r="L5" s="9" t="s">
        <v>43</v>
      </c>
    </row>
    <row r="6" customFormat="false" ht="60" hidden="false" customHeight="true" outlineLevel="0" collapsed="false">
      <c r="A6" s="4" t="s">
        <v>44</v>
      </c>
      <c r="B6" s="4" t="s">
        <v>45</v>
      </c>
      <c r="C6" s="4" t="s">
        <v>46</v>
      </c>
      <c r="D6" s="4" t="s">
        <v>15</v>
      </c>
      <c r="E6" s="4" t="s">
        <v>47</v>
      </c>
      <c r="F6" s="4" t="s">
        <v>48</v>
      </c>
      <c r="G6" s="4" t="s">
        <v>49</v>
      </c>
      <c r="H6" s="4" t="s">
        <v>49</v>
      </c>
      <c r="I6" s="5" t="s">
        <v>19</v>
      </c>
      <c r="J6" s="6" t="s">
        <v>20</v>
      </c>
      <c r="K6" s="1" t="s">
        <v>50</v>
      </c>
    </row>
    <row r="7" customFormat="false" ht="60" hidden="false" customHeight="true" outlineLevel="0" collapsed="false">
      <c r="A7" s="4" t="s">
        <v>51</v>
      </c>
      <c r="B7" s="4" t="s">
        <v>45</v>
      </c>
      <c r="C7" s="4" t="s">
        <v>52</v>
      </c>
      <c r="D7" s="4" t="s">
        <v>15</v>
      </c>
      <c r="E7" s="4" t="s">
        <v>53</v>
      </c>
      <c r="F7" s="4" t="s">
        <v>54</v>
      </c>
      <c r="G7" s="4" t="s">
        <v>55</v>
      </c>
      <c r="H7" s="4" t="s">
        <v>56</v>
      </c>
      <c r="I7" s="10" t="s">
        <v>41</v>
      </c>
      <c r="J7" s="6" t="s">
        <v>20</v>
      </c>
      <c r="K7" s="1" t="s">
        <v>57</v>
      </c>
      <c r="L7" s="2" t="s">
        <v>58</v>
      </c>
    </row>
    <row r="8" customFormat="false" ht="60" hidden="false" customHeight="true" outlineLevel="0" collapsed="false">
      <c r="A8" s="4" t="s">
        <v>59</v>
      </c>
      <c r="B8" s="4" t="s">
        <v>45</v>
      </c>
      <c r="C8" s="4" t="s">
        <v>60</v>
      </c>
      <c r="D8" s="4" t="s">
        <v>15</v>
      </c>
      <c r="E8" s="4" t="s">
        <v>61</v>
      </c>
      <c r="F8" s="4" t="s">
        <v>62</v>
      </c>
      <c r="G8" s="4" t="s">
        <v>63</v>
      </c>
      <c r="H8" s="4" t="s">
        <v>49</v>
      </c>
      <c r="I8" s="10" t="s">
        <v>41</v>
      </c>
      <c r="J8" s="7" t="s">
        <v>34</v>
      </c>
      <c r="K8" s="1" t="s">
        <v>64</v>
      </c>
      <c r="L8" s="2" t="s">
        <v>65</v>
      </c>
    </row>
    <row r="9" customFormat="false" ht="60" hidden="false" customHeight="true" outlineLevel="0" collapsed="false">
      <c r="A9" s="4" t="s">
        <v>66</v>
      </c>
      <c r="B9" s="4" t="s">
        <v>45</v>
      </c>
      <c r="C9" s="4" t="s">
        <v>67</v>
      </c>
      <c r="D9" s="4" t="s">
        <v>15</v>
      </c>
      <c r="E9" s="4" t="s">
        <v>68</v>
      </c>
      <c r="F9" s="4" t="s">
        <v>69</v>
      </c>
      <c r="G9" s="4" t="s">
        <v>70</v>
      </c>
      <c r="H9" s="4" t="s">
        <v>49</v>
      </c>
      <c r="I9" s="10" t="s">
        <v>41</v>
      </c>
      <c r="J9" s="7" t="s">
        <v>34</v>
      </c>
      <c r="K9" s="1" t="s">
        <v>71</v>
      </c>
      <c r="L9" s="2" t="s">
        <v>72</v>
      </c>
    </row>
    <row r="10" customFormat="false" ht="60" hidden="false" customHeight="true" outlineLevel="0" collapsed="false">
      <c r="A10" s="4" t="s">
        <v>73</v>
      </c>
      <c r="B10" s="4" t="s">
        <v>45</v>
      </c>
      <c r="C10" s="4" t="s">
        <v>74</v>
      </c>
      <c r="D10" s="4" t="s">
        <v>15</v>
      </c>
      <c r="E10" s="4" t="s">
        <v>75</v>
      </c>
      <c r="F10" s="4" t="s">
        <v>76</v>
      </c>
      <c r="G10" s="4" t="s">
        <v>77</v>
      </c>
      <c r="H10" s="4" t="s">
        <v>78</v>
      </c>
      <c r="I10" s="10" t="s">
        <v>41</v>
      </c>
      <c r="J10" s="7" t="s">
        <v>34</v>
      </c>
      <c r="K10" s="1" t="s">
        <v>79</v>
      </c>
      <c r="L10" s="2" t="s">
        <v>80</v>
      </c>
    </row>
    <row r="11" customFormat="false" ht="60" hidden="false" customHeight="true" outlineLevel="0" collapsed="false">
      <c r="A11" s="4" t="s">
        <v>81</v>
      </c>
      <c r="B11" s="4" t="s">
        <v>45</v>
      </c>
      <c r="C11" s="4" t="s">
        <v>82</v>
      </c>
      <c r="D11" s="4" t="s">
        <v>15</v>
      </c>
      <c r="E11" s="4" t="s">
        <v>83</v>
      </c>
      <c r="F11" s="4" t="s">
        <v>84</v>
      </c>
      <c r="G11" s="4" t="s">
        <v>85</v>
      </c>
      <c r="H11" s="4" t="s">
        <v>86</v>
      </c>
      <c r="I11" s="5" t="s">
        <v>19</v>
      </c>
      <c r="J11" s="11" t="s">
        <v>87</v>
      </c>
      <c r="K11" s="1" t="s">
        <v>88</v>
      </c>
    </row>
    <row r="12" customFormat="false" ht="60" hidden="false" customHeight="true" outlineLevel="0" collapsed="false">
      <c r="A12" s="4" t="s">
        <v>89</v>
      </c>
      <c r="B12" s="4" t="s">
        <v>90</v>
      </c>
      <c r="C12" s="4" t="s">
        <v>91</v>
      </c>
      <c r="D12" s="4" t="s">
        <v>92</v>
      </c>
      <c r="E12" s="4" t="s">
        <v>93</v>
      </c>
      <c r="F12" s="4" t="s">
        <v>94</v>
      </c>
      <c r="G12" s="4" t="s">
        <v>95</v>
      </c>
      <c r="H12" s="4" t="s">
        <v>95</v>
      </c>
      <c r="I12" s="5" t="s">
        <v>19</v>
      </c>
      <c r="J12" s="6" t="s">
        <v>20</v>
      </c>
      <c r="K12" s="1" t="s">
        <v>96</v>
      </c>
    </row>
    <row r="13" customFormat="false" ht="60" hidden="false" customHeight="true" outlineLevel="0" collapsed="false">
      <c r="A13" s="4" t="s">
        <v>97</v>
      </c>
      <c r="B13" s="4" t="s">
        <v>90</v>
      </c>
      <c r="C13" s="4" t="s">
        <v>98</v>
      </c>
      <c r="D13" s="4" t="s">
        <v>99</v>
      </c>
      <c r="E13" s="4" t="s">
        <v>100</v>
      </c>
      <c r="F13" s="4" t="s">
        <v>101</v>
      </c>
      <c r="G13" s="4" t="s">
        <v>102</v>
      </c>
      <c r="H13" s="4" t="s">
        <v>103</v>
      </c>
      <c r="I13" s="5" t="s">
        <v>19</v>
      </c>
      <c r="J13" s="6" t="s">
        <v>20</v>
      </c>
      <c r="K13" s="1" t="s">
        <v>104</v>
      </c>
    </row>
    <row r="14" customFormat="false" ht="60" hidden="false" customHeight="true" outlineLevel="0" collapsed="false">
      <c r="A14" s="4" t="s">
        <v>105</v>
      </c>
      <c r="B14" s="4" t="s">
        <v>90</v>
      </c>
      <c r="C14" s="4" t="s">
        <v>106</v>
      </c>
      <c r="D14" s="4" t="s">
        <v>99</v>
      </c>
      <c r="E14" s="4" t="s">
        <v>107</v>
      </c>
      <c r="F14" s="4" t="s">
        <v>108</v>
      </c>
      <c r="G14" s="4" t="s">
        <v>109</v>
      </c>
      <c r="H14" s="4" t="s">
        <v>103</v>
      </c>
      <c r="I14" s="5" t="s">
        <v>19</v>
      </c>
      <c r="J14" s="7" t="s">
        <v>34</v>
      </c>
      <c r="K14" s="1" t="s">
        <v>110</v>
      </c>
    </row>
    <row r="15" customFormat="false" ht="60" hidden="false" customHeight="true" outlineLevel="0" collapsed="false">
      <c r="A15" s="4" t="s">
        <v>111</v>
      </c>
      <c r="B15" s="4" t="s">
        <v>112</v>
      </c>
      <c r="C15" s="4" t="s">
        <v>113</v>
      </c>
      <c r="D15" s="4" t="s">
        <v>99</v>
      </c>
      <c r="E15" s="4" t="s">
        <v>114</v>
      </c>
      <c r="F15" s="4" t="s">
        <v>115</v>
      </c>
      <c r="G15" s="4" t="s">
        <v>116</v>
      </c>
      <c r="H15" s="4" t="s">
        <v>116</v>
      </c>
      <c r="I15" s="5" t="s">
        <v>19</v>
      </c>
      <c r="J15" s="7" t="s">
        <v>34</v>
      </c>
      <c r="K15" s="1" t="s">
        <v>117</v>
      </c>
    </row>
    <row r="16" customFormat="false" ht="60" hidden="false" customHeight="true" outlineLevel="0" collapsed="false">
      <c r="A16" s="4" t="s">
        <v>118</v>
      </c>
      <c r="B16" s="4" t="s">
        <v>112</v>
      </c>
      <c r="C16" s="4" t="s">
        <v>119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123</v>
      </c>
      <c r="I16" s="5" t="s">
        <v>19</v>
      </c>
      <c r="J16" s="7" t="s">
        <v>34</v>
      </c>
      <c r="K16" s="1" t="s">
        <v>124</v>
      </c>
    </row>
    <row r="17" customFormat="false" ht="60" hidden="false" customHeight="true" outlineLevel="0" collapsed="false">
      <c r="A17" s="4" t="s">
        <v>125</v>
      </c>
      <c r="B17" s="4" t="s">
        <v>112</v>
      </c>
      <c r="C17" s="4" t="s">
        <v>126</v>
      </c>
      <c r="D17" s="4" t="s">
        <v>120</v>
      </c>
      <c r="E17" s="4" t="s">
        <v>127</v>
      </c>
      <c r="F17" s="4" t="s">
        <v>128</v>
      </c>
      <c r="G17" s="4" t="s">
        <v>129</v>
      </c>
      <c r="H17" s="4" t="s">
        <v>130</v>
      </c>
      <c r="I17" s="10" t="s">
        <v>41</v>
      </c>
      <c r="J17" s="11" t="s">
        <v>87</v>
      </c>
      <c r="K17" s="1" t="s">
        <v>131</v>
      </c>
      <c r="L17" s="2" t="s">
        <v>132</v>
      </c>
    </row>
    <row r="18" customFormat="false" ht="60" hidden="false" customHeight="true" outlineLevel="0" collapsed="false">
      <c r="A18" s="4" t="s">
        <v>133</v>
      </c>
      <c r="B18" s="4" t="s">
        <v>134</v>
      </c>
      <c r="C18" s="4" t="s">
        <v>135</v>
      </c>
      <c r="D18" s="4" t="s">
        <v>136</v>
      </c>
      <c r="E18" s="4" t="s">
        <v>137</v>
      </c>
      <c r="F18" s="4" t="s">
        <v>138</v>
      </c>
      <c r="G18" s="4" t="s">
        <v>139</v>
      </c>
      <c r="H18" s="4" t="s">
        <v>139</v>
      </c>
      <c r="I18" s="5" t="s">
        <v>19</v>
      </c>
      <c r="J18" s="6" t="s">
        <v>20</v>
      </c>
      <c r="K18" s="1" t="s">
        <v>140</v>
      </c>
    </row>
    <row r="19" customFormat="false" ht="60" hidden="false" customHeight="true" outlineLevel="0" collapsed="false">
      <c r="A19" s="4" t="s">
        <v>141</v>
      </c>
      <c r="B19" s="4" t="s">
        <v>134</v>
      </c>
      <c r="C19" s="4" t="s">
        <v>142</v>
      </c>
      <c r="D19" s="4" t="s">
        <v>143</v>
      </c>
      <c r="E19" s="4" t="s">
        <v>144</v>
      </c>
      <c r="F19" s="4" t="s">
        <v>145</v>
      </c>
      <c r="G19" s="4" t="s">
        <v>146</v>
      </c>
      <c r="H19" s="4" t="s">
        <v>146</v>
      </c>
      <c r="I19" s="5" t="s">
        <v>19</v>
      </c>
      <c r="J19" s="6" t="s">
        <v>20</v>
      </c>
      <c r="K19" s="1" t="s">
        <v>147</v>
      </c>
    </row>
    <row r="20" customFormat="false" ht="60" hidden="false" customHeight="true" outlineLevel="0" collapsed="false">
      <c r="A20" s="4" t="s">
        <v>148</v>
      </c>
      <c r="B20" s="4" t="s">
        <v>134</v>
      </c>
      <c r="C20" s="4" t="s">
        <v>149</v>
      </c>
      <c r="D20" s="4" t="s">
        <v>143</v>
      </c>
      <c r="E20" s="4" t="s">
        <v>150</v>
      </c>
      <c r="F20" s="4" t="s">
        <v>151</v>
      </c>
      <c r="G20" s="4" t="s">
        <v>146</v>
      </c>
      <c r="H20" s="4" t="s">
        <v>139</v>
      </c>
      <c r="I20" s="8" t="s">
        <v>41</v>
      </c>
      <c r="J20" s="6" t="s">
        <v>20</v>
      </c>
      <c r="K20" s="1" t="s">
        <v>152</v>
      </c>
      <c r="L20" s="2" t="s">
        <v>153</v>
      </c>
    </row>
    <row r="21" customFormat="false" ht="60" hidden="false" customHeight="true" outlineLevel="0" collapsed="false">
      <c r="A21" s="4" t="s">
        <v>154</v>
      </c>
      <c r="B21" s="4" t="s">
        <v>134</v>
      </c>
      <c r="C21" s="4" t="s">
        <v>155</v>
      </c>
      <c r="D21" s="4" t="s">
        <v>156</v>
      </c>
      <c r="E21" s="4" t="s">
        <v>157</v>
      </c>
      <c r="F21" s="4" t="s">
        <v>101</v>
      </c>
      <c r="G21" s="4" t="s">
        <v>102</v>
      </c>
      <c r="H21" s="4" t="s">
        <v>158</v>
      </c>
      <c r="I21" s="8" t="s">
        <v>41</v>
      </c>
      <c r="J21" s="7" t="s">
        <v>34</v>
      </c>
      <c r="K21" s="1" t="s">
        <v>159</v>
      </c>
      <c r="L21" s="2" t="s">
        <v>160</v>
      </c>
    </row>
    <row r="22" customFormat="false" ht="60" hidden="false" customHeight="true" outlineLevel="0" collapsed="false">
      <c r="A22" s="4" t="s">
        <v>161</v>
      </c>
      <c r="B22" s="4" t="s">
        <v>162</v>
      </c>
      <c r="C22" s="4" t="s">
        <v>163</v>
      </c>
      <c r="D22" s="4" t="s">
        <v>136</v>
      </c>
      <c r="E22" s="4" t="s">
        <v>164</v>
      </c>
      <c r="F22" s="4" t="s">
        <v>165</v>
      </c>
      <c r="G22" s="4" t="s">
        <v>166</v>
      </c>
      <c r="H22" s="4" t="s">
        <v>167</v>
      </c>
      <c r="I22" s="5" t="s">
        <v>19</v>
      </c>
      <c r="J22" s="6" t="s">
        <v>20</v>
      </c>
      <c r="K22" s="1" t="s">
        <v>168</v>
      </c>
    </row>
    <row r="23" customFormat="false" ht="60" hidden="false" customHeight="true" outlineLevel="0" collapsed="false">
      <c r="A23" s="4" t="s">
        <v>169</v>
      </c>
      <c r="B23" s="4" t="s">
        <v>162</v>
      </c>
      <c r="C23" s="4" t="s">
        <v>170</v>
      </c>
      <c r="D23" s="4" t="s">
        <v>143</v>
      </c>
      <c r="E23" s="4" t="s">
        <v>171</v>
      </c>
      <c r="F23" s="4" t="s">
        <v>172</v>
      </c>
      <c r="G23" s="4" t="s">
        <v>146</v>
      </c>
      <c r="H23" s="4" t="s">
        <v>146</v>
      </c>
      <c r="I23" s="5" t="s">
        <v>19</v>
      </c>
      <c r="J23" s="6" t="s">
        <v>20</v>
      </c>
      <c r="K23" s="1" t="s">
        <v>173</v>
      </c>
    </row>
    <row r="24" customFormat="false" ht="60" hidden="false" customHeight="true" outlineLevel="0" collapsed="false">
      <c r="A24" s="4" t="s">
        <v>174</v>
      </c>
      <c r="B24" s="4" t="s">
        <v>162</v>
      </c>
      <c r="C24" s="4" t="s">
        <v>175</v>
      </c>
      <c r="D24" s="4" t="s">
        <v>176</v>
      </c>
      <c r="E24" s="4" t="s">
        <v>177</v>
      </c>
      <c r="F24" s="4" t="s">
        <v>178</v>
      </c>
      <c r="G24" s="4" t="s">
        <v>179</v>
      </c>
      <c r="H24" s="4" t="s">
        <v>158</v>
      </c>
      <c r="I24" s="5" t="s">
        <v>19</v>
      </c>
      <c r="J24" s="11" t="s">
        <v>87</v>
      </c>
      <c r="K24" s="1" t="s">
        <v>180</v>
      </c>
    </row>
    <row r="25" customFormat="false" ht="60" hidden="false" customHeight="true" outlineLevel="0" collapsed="false">
      <c r="A25" s="4" t="s">
        <v>181</v>
      </c>
      <c r="B25" s="4" t="s">
        <v>182</v>
      </c>
      <c r="C25" s="4" t="s">
        <v>183</v>
      </c>
      <c r="D25" s="4" t="s">
        <v>15</v>
      </c>
      <c r="E25" s="4" t="s">
        <v>184</v>
      </c>
      <c r="F25" s="4" t="s">
        <v>115</v>
      </c>
      <c r="G25" s="4" t="s">
        <v>185</v>
      </c>
      <c r="H25" s="4" t="s">
        <v>185</v>
      </c>
      <c r="I25" s="5" t="s">
        <v>19</v>
      </c>
      <c r="J25" s="7" t="s">
        <v>34</v>
      </c>
      <c r="K25" s="1" t="s">
        <v>186</v>
      </c>
    </row>
    <row r="26" customFormat="false" ht="60" hidden="false" customHeight="true" outlineLevel="0" collapsed="false">
      <c r="A26" s="4" t="s">
        <v>187</v>
      </c>
      <c r="B26" s="4" t="s">
        <v>45</v>
      </c>
      <c r="C26" s="4" t="s">
        <v>188</v>
      </c>
      <c r="D26" s="4" t="s">
        <v>15</v>
      </c>
      <c r="E26" s="4" t="s">
        <v>189</v>
      </c>
      <c r="F26" s="4" t="s">
        <v>190</v>
      </c>
      <c r="G26" s="4" t="s">
        <v>191</v>
      </c>
      <c r="H26" s="4" t="s">
        <v>192</v>
      </c>
      <c r="I26" s="5" t="s">
        <v>19</v>
      </c>
      <c r="J26" s="11" t="s">
        <v>87</v>
      </c>
      <c r="K26" s="1" t="s">
        <v>193</v>
      </c>
    </row>
    <row r="27" customFormat="false" ht="60" hidden="false" customHeight="true" outlineLevel="0" collapsed="false">
      <c r="A27" s="4" t="s">
        <v>194</v>
      </c>
      <c r="B27" s="4" t="s">
        <v>195</v>
      </c>
      <c r="C27" s="4" t="s">
        <v>196</v>
      </c>
      <c r="D27" s="4" t="s">
        <v>15</v>
      </c>
      <c r="E27" s="4" t="s">
        <v>197</v>
      </c>
      <c r="F27" s="4" t="s">
        <v>198</v>
      </c>
      <c r="G27" s="4" t="s">
        <v>199</v>
      </c>
      <c r="H27" s="4" t="s">
        <v>200</v>
      </c>
      <c r="I27" s="5" t="s">
        <v>19</v>
      </c>
      <c r="J27" s="7" t="s">
        <v>34</v>
      </c>
      <c r="K27" s="1" t="s">
        <v>201</v>
      </c>
    </row>
    <row r="28" customFormat="false" ht="60" hidden="false" customHeight="true" outlineLevel="0" collapsed="false">
      <c r="A28" s="4" t="s">
        <v>202</v>
      </c>
      <c r="B28" s="4" t="s">
        <v>45</v>
      </c>
      <c r="C28" s="4" t="s">
        <v>203</v>
      </c>
      <c r="D28" s="4" t="s">
        <v>15</v>
      </c>
      <c r="E28" s="4" t="s">
        <v>204</v>
      </c>
      <c r="F28" s="4" t="s">
        <v>205</v>
      </c>
      <c r="G28" s="4" t="s">
        <v>206</v>
      </c>
      <c r="H28" s="4" t="s">
        <v>49</v>
      </c>
      <c r="I28" s="10" t="s">
        <v>41</v>
      </c>
      <c r="J28" s="7" t="s">
        <v>34</v>
      </c>
      <c r="K28" s="1" t="s">
        <v>207</v>
      </c>
      <c r="L28" s="2" t="s">
        <v>208</v>
      </c>
    </row>
  </sheetData>
  <autoFilter ref="A1:J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1" activeCellId="0" sqref="C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4" min="3" style="1" width="34"/>
  </cols>
  <sheetData>
    <row r="1" customFormat="false" ht="15" hidden="false" customHeight="false" outlineLevel="0" collapsed="false">
      <c r="A1" s="3" t="s">
        <v>209</v>
      </c>
      <c r="B1" s="3" t="s">
        <v>210</v>
      </c>
      <c r="C1" s="3" t="s">
        <v>211</v>
      </c>
      <c r="D1" s="3" t="s">
        <v>212</v>
      </c>
    </row>
    <row r="2" customFormat="false" ht="15" hidden="false" customHeight="false" outlineLevel="0" collapsed="false">
      <c r="A2" s="4" t="s">
        <v>213</v>
      </c>
      <c r="B2" s="4" t="s">
        <v>214</v>
      </c>
      <c r="C2" s="4" t="s">
        <v>215</v>
      </c>
      <c r="D2" s="4" t="s">
        <v>216</v>
      </c>
    </row>
    <row r="3" customFormat="false" ht="15" hidden="false" customHeight="false" outlineLevel="0" collapsed="false">
      <c r="A3" s="4" t="s">
        <v>213</v>
      </c>
      <c r="B3" s="4" t="s">
        <v>217</v>
      </c>
      <c r="C3" s="4" t="s">
        <v>218</v>
      </c>
      <c r="D3" s="4" t="s">
        <v>216</v>
      </c>
    </row>
    <row r="4" customFormat="false" ht="15" hidden="false" customHeight="false" outlineLevel="0" collapsed="false">
      <c r="A4" s="4" t="s">
        <v>213</v>
      </c>
      <c r="B4" s="4" t="s">
        <v>219</v>
      </c>
      <c r="C4" s="4" t="s">
        <v>220</v>
      </c>
      <c r="D4" s="4" t="s">
        <v>216</v>
      </c>
    </row>
    <row r="5" customFormat="false" ht="15" hidden="false" customHeight="false" outlineLevel="0" collapsed="false">
      <c r="A5" s="4" t="s">
        <v>213</v>
      </c>
      <c r="B5" s="4" t="s">
        <v>221</v>
      </c>
      <c r="C5" s="4" t="s">
        <v>222</v>
      </c>
      <c r="D5" s="4" t="s">
        <v>223</v>
      </c>
    </row>
    <row r="6" customFormat="false" ht="15" hidden="false" customHeight="false" outlineLevel="0" collapsed="false">
      <c r="A6" s="4" t="s">
        <v>213</v>
      </c>
      <c r="B6" s="4" t="s">
        <v>224</v>
      </c>
      <c r="C6" s="4" t="s">
        <v>225</v>
      </c>
      <c r="D6" s="4" t="s">
        <v>216</v>
      </c>
    </row>
    <row r="7" customFormat="false" ht="15" hidden="false" customHeight="false" outlineLevel="0" collapsed="false">
      <c r="A7" s="4" t="s">
        <v>213</v>
      </c>
      <c r="B7" s="4" t="s">
        <v>226</v>
      </c>
      <c r="C7" s="4" t="s">
        <v>227</v>
      </c>
      <c r="D7" s="4" t="s">
        <v>216</v>
      </c>
    </row>
    <row r="8" customFormat="false" ht="15" hidden="false" customHeight="false" outlineLevel="0" collapsed="false">
      <c r="A8" s="4" t="s">
        <v>213</v>
      </c>
      <c r="B8" s="4" t="s">
        <v>228</v>
      </c>
      <c r="C8" s="4" t="s">
        <v>229</v>
      </c>
      <c r="D8" s="4" t="s">
        <v>216</v>
      </c>
    </row>
    <row r="9" customFormat="false" ht="15" hidden="false" customHeight="false" outlineLevel="0" collapsed="false">
      <c r="A9" s="4" t="s">
        <v>230</v>
      </c>
      <c r="B9" s="4" t="s">
        <v>231</v>
      </c>
      <c r="C9" s="4" t="s">
        <v>232</v>
      </c>
      <c r="D9" s="4" t="s">
        <v>233</v>
      </c>
    </row>
    <row r="10" customFormat="false" ht="15" hidden="false" customHeight="false" outlineLevel="0" collapsed="false">
      <c r="A10" s="4" t="s">
        <v>230</v>
      </c>
      <c r="B10" s="4" t="s">
        <v>234</v>
      </c>
      <c r="C10" s="4" t="s">
        <v>235</v>
      </c>
      <c r="D10" s="4" t="s">
        <v>233</v>
      </c>
    </row>
    <row r="11" customFormat="false" ht="15" hidden="false" customHeight="false" outlineLevel="0" collapsed="false">
      <c r="A11" s="4" t="s">
        <v>236</v>
      </c>
      <c r="B11" s="4" t="s">
        <v>214</v>
      </c>
      <c r="C11" s="4" t="s">
        <v>237</v>
      </c>
      <c r="D11" s="4" t="s">
        <v>238</v>
      </c>
    </row>
    <row r="12" customFormat="false" ht="15" hidden="false" customHeight="false" outlineLevel="0" collapsed="false">
      <c r="A12" s="4" t="s">
        <v>239</v>
      </c>
      <c r="B12" s="4" t="s">
        <v>219</v>
      </c>
      <c r="C12" s="4" t="n">
        <v>-120</v>
      </c>
      <c r="D12" s="4" t="s">
        <v>240</v>
      </c>
    </row>
    <row r="13" customFormat="false" ht="15" hidden="false" customHeight="false" outlineLevel="0" collapsed="false">
      <c r="A13" s="4" t="s">
        <v>241</v>
      </c>
      <c r="B13" s="4" t="s">
        <v>219</v>
      </c>
      <c r="C13" s="4" t="s">
        <v>242</v>
      </c>
      <c r="D13" s="4" t="s">
        <v>243</v>
      </c>
    </row>
    <row r="14" customFormat="false" ht="15" hidden="false" customHeight="false" outlineLevel="0" collapsed="false">
      <c r="A14" s="4" t="s">
        <v>244</v>
      </c>
      <c r="B14" s="4" t="s">
        <v>245</v>
      </c>
      <c r="C14" s="4" t="s">
        <v>246</v>
      </c>
      <c r="D14" s="4" t="s">
        <v>247</v>
      </c>
    </row>
    <row r="15" customFormat="false" ht="15" hidden="false" customHeight="false" outlineLevel="0" collapsed="false">
      <c r="A15" s="4" t="s">
        <v>248</v>
      </c>
      <c r="B15" s="4" t="s">
        <v>214</v>
      </c>
      <c r="C15" s="4" t="s">
        <v>249</v>
      </c>
      <c r="D15" s="4" t="s">
        <v>250</v>
      </c>
    </row>
    <row r="16" customFormat="false" ht="15" hidden="false" customHeight="false" outlineLevel="0" collapsed="false">
      <c r="A16" s="4" t="s">
        <v>251</v>
      </c>
      <c r="B16" s="4" t="s">
        <v>252</v>
      </c>
      <c r="C16" s="4" t="s">
        <v>39</v>
      </c>
      <c r="D16" s="4" t="s">
        <v>253</v>
      </c>
    </row>
    <row r="1048576" customFormat="false" ht="12.8" hidden="false" customHeight="false" outlineLevel="0" collapsed="false"/>
  </sheetData>
  <autoFilter ref="A1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30"/>
    <col collapsed="false" customWidth="true" hidden="false" outlineLevel="0" max="8" min="8" style="1" width="34"/>
    <col collapsed="false" customWidth="true" hidden="false" outlineLevel="0" max="11" min="9" style="1" width="10"/>
    <col collapsed="false" customWidth="true" hidden="false" outlineLevel="0" max="12" min="12" style="2" width="10"/>
  </cols>
  <sheetData>
    <row r="1" customFormat="false" ht="30" hidden="false" customHeight="true" outlineLevel="0" collapsed="false">
      <c r="A1" s="3" t="s">
        <v>254</v>
      </c>
      <c r="B1" s="3" t="s">
        <v>255</v>
      </c>
      <c r="C1" s="3" t="s">
        <v>1</v>
      </c>
      <c r="D1" s="3" t="s">
        <v>256</v>
      </c>
      <c r="E1" s="3" t="s">
        <v>257</v>
      </c>
      <c r="F1" s="3" t="s">
        <v>5</v>
      </c>
      <c r="G1" s="3" t="s">
        <v>6</v>
      </c>
      <c r="H1" s="3" t="s">
        <v>7</v>
      </c>
      <c r="I1" s="3" t="s">
        <v>258</v>
      </c>
      <c r="J1" s="3" t="s">
        <v>9</v>
      </c>
      <c r="K1" s="3" t="s">
        <v>8</v>
      </c>
      <c r="L1" s="3" t="s">
        <v>10</v>
      </c>
    </row>
    <row r="2" customFormat="false" ht="45" hidden="false" customHeight="true" outlineLevel="0" collapsed="false">
      <c r="A2" s="12" t="s">
        <v>43</v>
      </c>
      <c r="B2" s="12" t="s">
        <v>36</v>
      </c>
      <c r="C2" s="13" t="s">
        <v>13</v>
      </c>
      <c r="D2" s="13" t="s">
        <v>37</v>
      </c>
      <c r="E2" s="13" t="s">
        <v>38</v>
      </c>
      <c r="F2" s="13" t="s">
        <v>39</v>
      </c>
      <c r="G2" s="13" t="s">
        <v>40</v>
      </c>
      <c r="H2" s="13" t="s">
        <v>26</v>
      </c>
      <c r="I2" s="14" t="s">
        <v>259</v>
      </c>
      <c r="J2" s="12" t="s">
        <v>34</v>
      </c>
      <c r="K2" s="15" t="s">
        <v>260</v>
      </c>
      <c r="L2" s="16" t="s">
        <v>42</v>
      </c>
    </row>
    <row r="3" customFormat="false" ht="45" hidden="false" customHeight="true" outlineLevel="0" collapsed="false">
      <c r="A3" s="12" t="s">
        <v>58</v>
      </c>
      <c r="B3" s="12" t="s">
        <v>51</v>
      </c>
      <c r="C3" s="13" t="s">
        <v>45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56</v>
      </c>
      <c r="I3" s="15" t="s">
        <v>261</v>
      </c>
      <c r="J3" s="12" t="s">
        <v>20</v>
      </c>
      <c r="K3" s="15" t="s">
        <v>260</v>
      </c>
      <c r="L3" s="16" t="s">
        <v>57</v>
      </c>
    </row>
    <row r="4" customFormat="false" ht="45" hidden="false" customHeight="true" outlineLevel="0" collapsed="false">
      <c r="A4" s="12" t="s">
        <v>65</v>
      </c>
      <c r="B4" s="12" t="s">
        <v>59</v>
      </c>
      <c r="C4" s="13" t="s">
        <v>45</v>
      </c>
      <c r="D4" s="13" t="s">
        <v>60</v>
      </c>
      <c r="E4" s="13" t="s">
        <v>61</v>
      </c>
      <c r="F4" s="13" t="s">
        <v>62</v>
      </c>
      <c r="G4" s="13" t="s">
        <v>63</v>
      </c>
      <c r="H4" s="13" t="s">
        <v>49</v>
      </c>
      <c r="I4" s="14" t="s">
        <v>259</v>
      </c>
      <c r="J4" s="12" t="s">
        <v>34</v>
      </c>
      <c r="K4" s="15" t="s">
        <v>260</v>
      </c>
      <c r="L4" s="16" t="s">
        <v>64</v>
      </c>
    </row>
    <row r="5" customFormat="false" ht="45" hidden="false" customHeight="true" outlineLevel="0" collapsed="false">
      <c r="A5" s="12" t="s">
        <v>72</v>
      </c>
      <c r="B5" s="12" t="s">
        <v>66</v>
      </c>
      <c r="C5" s="13" t="s">
        <v>45</v>
      </c>
      <c r="D5" s="13" t="s">
        <v>67</v>
      </c>
      <c r="E5" s="13" t="s">
        <v>68</v>
      </c>
      <c r="F5" s="13" t="s">
        <v>69</v>
      </c>
      <c r="G5" s="13" t="s">
        <v>70</v>
      </c>
      <c r="H5" s="13" t="s">
        <v>49</v>
      </c>
      <c r="I5" s="14" t="s">
        <v>259</v>
      </c>
      <c r="J5" s="12" t="s">
        <v>34</v>
      </c>
      <c r="K5" s="15" t="s">
        <v>260</v>
      </c>
      <c r="L5" s="16" t="s">
        <v>71</v>
      </c>
    </row>
    <row r="6" customFormat="false" ht="45" hidden="false" customHeight="true" outlineLevel="0" collapsed="false">
      <c r="A6" s="12" t="s">
        <v>80</v>
      </c>
      <c r="B6" s="12" t="s">
        <v>73</v>
      </c>
      <c r="C6" s="13" t="s">
        <v>45</v>
      </c>
      <c r="D6" s="13" t="s">
        <v>74</v>
      </c>
      <c r="E6" s="13" t="s">
        <v>75</v>
      </c>
      <c r="F6" s="13" t="s">
        <v>76</v>
      </c>
      <c r="G6" s="13" t="s">
        <v>77</v>
      </c>
      <c r="H6" s="13" t="s">
        <v>78</v>
      </c>
      <c r="I6" s="14" t="s">
        <v>259</v>
      </c>
      <c r="J6" s="12" t="s">
        <v>34</v>
      </c>
      <c r="K6" s="15" t="s">
        <v>260</v>
      </c>
      <c r="L6" s="16" t="s">
        <v>79</v>
      </c>
    </row>
    <row r="7" customFormat="false" ht="45" hidden="false" customHeight="true" outlineLevel="0" collapsed="false">
      <c r="A7" s="12" t="s">
        <v>132</v>
      </c>
      <c r="B7" s="12" t="s">
        <v>125</v>
      </c>
      <c r="C7" s="13" t="s">
        <v>112</v>
      </c>
      <c r="D7" s="13" t="s">
        <v>126</v>
      </c>
      <c r="E7" s="13" t="s">
        <v>127</v>
      </c>
      <c r="F7" s="13" t="s">
        <v>128</v>
      </c>
      <c r="G7" s="13" t="s">
        <v>129</v>
      </c>
      <c r="H7" s="13" t="s">
        <v>130</v>
      </c>
      <c r="I7" s="17" t="s">
        <v>262</v>
      </c>
      <c r="J7" s="12" t="s">
        <v>87</v>
      </c>
      <c r="K7" s="15" t="s">
        <v>260</v>
      </c>
      <c r="L7" s="16" t="s">
        <v>131</v>
      </c>
    </row>
    <row r="8" customFormat="false" ht="45" hidden="false" customHeight="true" outlineLevel="0" collapsed="false">
      <c r="A8" s="12" t="s">
        <v>153</v>
      </c>
      <c r="B8" s="12" t="s">
        <v>148</v>
      </c>
      <c r="C8" s="13" t="s">
        <v>134</v>
      </c>
      <c r="D8" s="13" t="s">
        <v>149</v>
      </c>
      <c r="E8" s="13" t="s">
        <v>150</v>
      </c>
      <c r="F8" s="13" t="s">
        <v>151</v>
      </c>
      <c r="G8" s="13" t="s">
        <v>146</v>
      </c>
      <c r="H8" s="13" t="s">
        <v>139</v>
      </c>
      <c r="I8" s="15" t="s">
        <v>261</v>
      </c>
      <c r="J8" s="12" t="s">
        <v>20</v>
      </c>
      <c r="K8" s="15" t="s">
        <v>260</v>
      </c>
      <c r="L8" s="16" t="s">
        <v>152</v>
      </c>
    </row>
    <row r="9" customFormat="false" ht="45" hidden="false" customHeight="true" outlineLevel="0" collapsed="false">
      <c r="A9" s="12" t="s">
        <v>160</v>
      </c>
      <c r="B9" s="12" t="s">
        <v>154</v>
      </c>
      <c r="C9" s="13" t="s">
        <v>134</v>
      </c>
      <c r="D9" s="13" t="s">
        <v>155</v>
      </c>
      <c r="E9" s="13" t="s">
        <v>157</v>
      </c>
      <c r="F9" s="13" t="s">
        <v>101</v>
      </c>
      <c r="G9" s="13" t="s">
        <v>102</v>
      </c>
      <c r="H9" s="13" t="s">
        <v>158</v>
      </c>
      <c r="I9" s="14" t="s">
        <v>259</v>
      </c>
      <c r="J9" s="12" t="s">
        <v>34</v>
      </c>
      <c r="K9" s="15" t="s">
        <v>260</v>
      </c>
      <c r="L9" s="16" t="s">
        <v>159</v>
      </c>
    </row>
    <row r="10" customFormat="false" ht="45" hidden="false" customHeight="true" outlineLevel="0" collapsed="false">
      <c r="A10" s="12" t="s">
        <v>263</v>
      </c>
      <c r="B10" s="12" t="s">
        <v>202</v>
      </c>
      <c r="C10" s="13" t="s">
        <v>45</v>
      </c>
      <c r="D10" s="13" t="s">
        <v>203</v>
      </c>
      <c r="E10" s="13" t="s">
        <v>204</v>
      </c>
      <c r="F10" s="13" t="s">
        <v>205</v>
      </c>
      <c r="G10" s="13" t="s">
        <v>206</v>
      </c>
      <c r="H10" s="13" t="s">
        <v>49</v>
      </c>
      <c r="I10" s="14" t="s">
        <v>259</v>
      </c>
      <c r="J10" s="12" t="s">
        <v>34</v>
      </c>
      <c r="K10" s="15" t="s">
        <v>260</v>
      </c>
      <c r="L10" s="16" t="s">
        <v>207</v>
      </c>
    </row>
  </sheetData>
  <autoFilter ref="A1:L1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9" activeCellId="0" sqref="H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4"/>
  </cols>
  <sheetData>
    <row r="1" customFormat="false" ht="17.35" hidden="false" customHeight="false" outlineLevel="0" collapsed="false">
      <c r="A1" s="18" t="s">
        <v>264</v>
      </c>
      <c r="B1" s="18"/>
      <c r="C1" s="18"/>
      <c r="D1" s="18"/>
    </row>
    <row r="3" customFormat="false" ht="15" hidden="false" customHeight="false" outlineLevel="0" collapsed="false">
      <c r="A3" s="3" t="s">
        <v>265</v>
      </c>
      <c r="B3" s="3" t="s">
        <v>266</v>
      </c>
    </row>
    <row r="4" customFormat="false" ht="15" hidden="false" customHeight="false" outlineLevel="0" collapsed="false">
      <c r="A4" s="19" t="s">
        <v>267</v>
      </c>
      <c r="B4" s="20" t="n">
        <f aca="false">COUNTA('Test Cases'!A2:A28)</f>
        <v>27</v>
      </c>
    </row>
    <row r="5" customFormat="false" ht="15" hidden="false" customHeight="false" outlineLevel="0" collapsed="false">
      <c r="A5" s="19" t="s">
        <v>268</v>
      </c>
      <c r="B5" s="20" t="n">
        <f aca="false">COUNTIF('Test Cases'!I2:I28,"Pass")</f>
        <v>18</v>
      </c>
    </row>
    <row r="6" customFormat="false" ht="15" hidden="false" customHeight="false" outlineLevel="0" collapsed="false">
      <c r="A6" s="19" t="s">
        <v>269</v>
      </c>
      <c r="B6" s="20" t="n">
        <f aca="false">COUNTIF('Test Cases'!I2:I28,"Fail")</f>
        <v>9</v>
      </c>
    </row>
    <row r="7" customFormat="false" ht="15" hidden="false" customHeight="false" outlineLevel="0" collapsed="false">
      <c r="A7" s="19" t="s">
        <v>270</v>
      </c>
      <c r="B7" s="20" t="n">
        <f aca="false">COUNTIF('Test Cases'!I2:I28,"Not Run")</f>
        <v>0</v>
      </c>
    </row>
    <row r="8" customFormat="false" ht="15" hidden="false" customHeight="false" outlineLevel="0" collapsed="false">
      <c r="A8" s="19" t="s">
        <v>271</v>
      </c>
      <c r="B8" s="21" t="n">
        <f aca="false">IFERROR(B5/B4,0)</f>
        <v>0.666666666666667</v>
      </c>
    </row>
    <row r="10" customFormat="false" ht="32.8" hidden="false" customHeight="true" outlineLevel="0" collapsed="false">
      <c r="A10" s="22" t="s">
        <v>272</v>
      </c>
      <c r="B10" s="22"/>
      <c r="C10" s="22"/>
      <c r="D10" s="22"/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2026-09-05T16:46:40Z</dcterms:created>
  <dc:creator>openpyxl</dc:creator>
  <dc:description/>
  <dc:language>en-US</dc:language>
  <cp:lastModifiedBy/>
  <dcterms:modified xsi:type="dcterms:W3CDTF">2026-09-07T21:50:33Z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